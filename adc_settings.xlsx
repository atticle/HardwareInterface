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2434916b4c0d4/Workspace/newdil/hardware_interface_Lab/res/"/>
    </mc:Choice>
  </mc:AlternateContent>
  <xr:revisionPtr revIDLastSave="0" documentId="8_{CC7E33A2-7A7F-4B1E-8BD7-F949D0B8D839}" xr6:coauthVersionLast="47" xr6:coauthVersionMax="47" xr10:uidLastSave="{00000000-0000-0000-0000-000000000000}"/>
  <bookViews>
    <workbookView xWindow="-28260" yWindow="900" windowWidth="19500" windowHeight="10995" xr2:uid="{A87D069A-194E-43AF-978C-B3AB133C1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F13" i="1"/>
  <c r="F11" i="1"/>
  <c r="B8" i="1"/>
  <c r="H9" i="1"/>
  <c r="F6" i="1"/>
  <c r="F5" i="1"/>
  <c r="F4" i="1"/>
  <c r="F2" i="1"/>
</calcChain>
</file>

<file path=xl/sharedStrings.xml><?xml version="1.0" encoding="utf-8"?>
<sst xmlns="http://schemas.openxmlformats.org/spreadsheetml/2006/main" count="25" uniqueCount="19">
  <si>
    <t>Clock Prescaler</t>
    <phoneticPr fontId="2" type="noConversion"/>
  </si>
  <si>
    <t>SamplingTime</t>
    <phoneticPr fontId="2" type="noConversion"/>
  </si>
  <si>
    <t>F_adc (ADCCLK)</t>
    <phoneticPr fontId="2" type="noConversion"/>
  </si>
  <si>
    <t>F_sys</t>
    <phoneticPr fontId="2" type="noConversion"/>
  </si>
  <si>
    <t>T_clk</t>
    <phoneticPr fontId="2" type="noConversion"/>
  </si>
  <si>
    <t>us</t>
    <phoneticPr fontId="2" type="noConversion"/>
  </si>
  <si>
    <t>ms</t>
    <phoneticPr fontId="2" type="noConversion"/>
  </si>
  <si>
    <t>ns</t>
    <phoneticPr fontId="2" type="noConversion"/>
  </si>
  <si>
    <t>cycles</t>
    <phoneticPr fontId="2" type="noConversion"/>
  </si>
  <si>
    <t>Rsolution</t>
    <phoneticPr fontId="2" type="noConversion"/>
  </si>
  <si>
    <t>converson</t>
    <phoneticPr fontId="2" type="noConversion"/>
  </si>
  <si>
    <t>cycle</t>
    <phoneticPr fontId="2" type="noConversion"/>
  </si>
  <si>
    <t>Total_time</t>
    <phoneticPr fontId="2" type="noConversion"/>
  </si>
  <si>
    <t>Hz</t>
    <phoneticPr fontId="2" type="noConversion"/>
  </si>
  <si>
    <t>bit</t>
    <phoneticPr fontId="2" type="noConversion"/>
  </si>
  <si>
    <t>R_s_time</t>
    <phoneticPr fontId="2" type="noConversion"/>
  </si>
  <si>
    <t>T_s_time</t>
    <phoneticPr fontId="2" type="noConversion"/>
  </si>
  <si>
    <t>T_s_time &gt;=</t>
    <phoneticPr fontId="2" type="noConversion"/>
  </si>
  <si>
    <t>Conv_time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</si>
</sst>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0" borderId="0" xfId="0" applyNumberFormat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1" applyNumberFormat="1" applyFont="1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3" borderId="0" xfId="0" applyFill="1" applyBorder="1">
      <alignment vertical="center"/>
    </xf>
    <xf numFmtId="0" fontId="0" fillId="2" borderId="2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6B86-E116-4AA3-ACFA-92EDAC01DD48}">
  <dimension ref="B1:L13"/>
  <sheetViews>
    <sheetView tabSelected="1" topLeftCell="B1" workbookViewId="0">
      <selection activeCell="F18" sqref="F18"/>
    </sheetView>
  </sheetViews>
  <sheetFormatPr defaultRowHeight="16.5" x14ac:dyDescent="0.3"/>
  <cols>
    <col min="2" max="2" width="15.25" customWidth="1"/>
    <col min="4" max="4" width="14.875" bestFit="1" customWidth="1"/>
    <col min="5" max="5" width="18.75" bestFit="1" customWidth="1"/>
    <col min="6" max="6" width="17.75" customWidth="1"/>
    <col min="8" max="8" width="21.375" customWidth="1"/>
    <col min="10" max="10" width="4.125" customWidth="1"/>
    <col min="11" max="11" width="16.375" customWidth="1"/>
  </cols>
  <sheetData>
    <row r="1" spans="2:12" x14ac:dyDescent="0.3">
      <c r="B1" t="s">
        <v>3</v>
      </c>
      <c r="D1" t="s">
        <v>0</v>
      </c>
      <c r="F1" t="s">
        <v>2</v>
      </c>
      <c r="H1" t="s">
        <v>1</v>
      </c>
      <c r="K1" t="s">
        <v>16</v>
      </c>
    </row>
    <row r="2" spans="2:12" x14ac:dyDescent="0.3">
      <c r="B2" s="5">
        <v>64000000</v>
      </c>
      <c r="C2" t="s">
        <v>13</v>
      </c>
      <c r="D2" s="6">
        <v>2</v>
      </c>
      <c r="F2" s="1">
        <f>B2/D2</f>
        <v>32000000</v>
      </c>
      <c r="G2" t="s">
        <v>13</v>
      </c>
      <c r="H2" s="6">
        <v>160.5</v>
      </c>
      <c r="I2" t="s">
        <v>8</v>
      </c>
      <c r="J2" s="2"/>
      <c r="K2">
        <f>H2*F5</f>
        <v>5.015625</v>
      </c>
      <c r="L2" t="s">
        <v>5</v>
      </c>
    </row>
    <row r="4" spans="2:12" x14ac:dyDescent="0.3">
      <c r="B4" t="s">
        <v>9</v>
      </c>
      <c r="E4" t="s">
        <v>4</v>
      </c>
      <c r="F4" s="3">
        <f>1/F2 * 1000</f>
        <v>3.1250000000000001E-5</v>
      </c>
      <c r="G4" t="s">
        <v>6</v>
      </c>
    </row>
    <row r="5" spans="2:12" x14ac:dyDescent="0.3">
      <c r="B5" s="6">
        <v>12</v>
      </c>
      <c r="C5" t="s">
        <v>14</v>
      </c>
      <c r="F5" s="8">
        <f>F4*1000</f>
        <v>3.125E-2</v>
      </c>
      <c r="G5" t="s">
        <v>5</v>
      </c>
    </row>
    <row r="6" spans="2:12" x14ac:dyDescent="0.3">
      <c r="F6" s="4">
        <f>F5*1000</f>
        <v>31.25</v>
      </c>
      <c r="G6" t="s">
        <v>7</v>
      </c>
    </row>
    <row r="7" spans="2:12" ht="17.25" thickBot="1" x14ac:dyDescent="0.35">
      <c r="B7" t="s">
        <v>10</v>
      </c>
    </row>
    <row r="8" spans="2:12" x14ac:dyDescent="0.3">
      <c r="B8" s="7">
        <f>B5+0.5</f>
        <v>12.5</v>
      </c>
      <c r="C8" t="s">
        <v>11</v>
      </c>
      <c r="E8" s="9" t="s">
        <v>17</v>
      </c>
      <c r="F8" s="19">
        <v>4</v>
      </c>
      <c r="G8" s="10" t="s">
        <v>5</v>
      </c>
      <c r="H8" s="10" t="s">
        <v>15</v>
      </c>
      <c r="I8" s="11"/>
    </row>
    <row r="9" spans="2:12" x14ac:dyDescent="0.3">
      <c r="E9" s="12"/>
      <c r="F9" s="13"/>
      <c r="G9" s="13"/>
      <c r="H9" s="18">
        <f>F8/F5</f>
        <v>128</v>
      </c>
      <c r="I9" s="14" t="s">
        <v>8</v>
      </c>
    </row>
    <row r="10" spans="2:12" x14ac:dyDescent="0.3">
      <c r="E10" s="12"/>
      <c r="F10" s="13" t="s">
        <v>18</v>
      </c>
      <c r="G10" s="13"/>
      <c r="H10" s="13"/>
      <c r="I10" s="14"/>
    </row>
    <row r="11" spans="2:12" x14ac:dyDescent="0.3">
      <c r="E11" s="12"/>
      <c r="F11" s="18">
        <f>H2+B8</f>
        <v>173</v>
      </c>
      <c r="G11" s="13" t="s">
        <v>8</v>
      </c>
      <c r="H11" s="13"/>
      <c r="I11" s="14"/>
    </row>
    <row r="12" spans="2:12" x14ac:dyDescent="0.3">
      <c r="E12" s="12"/>
      <c r="F12" s="13" t="s">
        <v>12</v>
      </c>
      <c r="G12" s="13"/>
      <c r="H12" s="13"/>
      <c r="I12" s="14"/>
    </row>
    <row r="13" spans="2:12" ht="17.25" thickBot="1" x14ac:dyDescent="0.35">
      <c r="E13" s="15"/>
      <c r="F13" s="16">
        <f>F11*F5</f>
        <v>5.40625</v>
      </c>
      <c r="G13" s="16" t="s">
        <v>5</v>
      </c>
      <c r="H13" s="16"/>
      <c r="I13" s="17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 Park</dc:creator>
  <cp:lastModifiedBy>Chanmin Park</cp:lastModifiedBy>
  <dcterms:created xsi:type="dcterms:W3CDTF">2026-09-01T02:00:55Z</dcterms:created>
  <dcterms:modified xsi:type="dcterms:W3CDTF">2026-09-01T05:34:05Z</dcterms:modified>
</cp:coreProperties>
</file>